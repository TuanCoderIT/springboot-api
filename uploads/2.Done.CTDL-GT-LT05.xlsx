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https://vinhunieduvn0-my.sharepoint.com/personal/uyennt_vinhuni_edu_vn/Documents/3.TÀI LIỆU GIẢNG DẠY/2.HỒ SƠ DẠY/2.ĐẠI HỌC/Năm học 2025-2026/Kỳ 1/"/>
    </mc:Choice>
  </mc:AlternateContent>
  <xr:revisionPtr revIDLastSave="0" documentId="8_{73BDFD92-16DE-4061-8A0C-7BCB837A7A9D}" xr6:coauthVersionLast="47" xr6:coauthVersionMax="47" xr10:uidLastSave="{00000000-0000-0000-0000-000000000000}"/>
  <bookViews>
    <workbookView xWindow="0" yWindow="480" windowWidth="38400" windowHeight="21120" xr2:uid="{00000000-000D-0000-FFFF-FFFF00000000}"/>
  </bookViews>
  <sheets>
    <sheet name="DS_Lop" sheetId="1" r:id="rId1"/>
    <sheet name="Sheet2" sheetId="2" r:id="rId2"/>
    <sheet name="Sheet3" sheetId="3" r:id="rId3"/>
  </sheets>
  <definedNames>
    <definedName name="_xlnm._FilterDatabase" localSheetId="0" hidden="1">DS_Lop!$S$7:$V$54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1" l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8" i="1"/>
</calcChain>
</file>

<file path=xl/sharedStrings.xml><?xml version="1.0" encoding="utf-8"?>
<sst xmlns="http://schemas.openxmlformats.org/spreadsheetml/2006/main" count="630" uniqueCount="134">
  <si>
    <t>BỘ GIÁO DỤC VÀ ĐÀO TẠO</t>
  </si>
  <si>
    <t>CỘNG HÒA XÃ HỘI CHỦ NGHĨA VIỆT NAM</t>
  </si>
  <si>
    <t>TRƯỜNG ĐẠI HỌC VINH</t>
  </si>
  <si>
    <t>Độc lập - Tự do - Hạnh phúc</t>
  </si>
  <si>
    <t>DANH SÁCH LỚP HỌC PHẦN</t>
  </si>
  <si>
    <t>Mã HP: INF22105 - Cấu trúc dữ liệu và giải thuật(125.1)_LT_05</t>
  </si>
  <si>
    <t>Phòng học: D3-201. Thứ: 4; Tiết: 2, 3, 4, 5, Từ: 03/09/2025 đến: 17/12/2025</t>
  </si>
  <si>
    <t>Phòng học: B2_405. Thứ: 4; Tiết: 2, 3, 4, 5, Từ: 03/09/2025 đến: 17/12/2025</t>
  </si>
  <si>
    <t>TT</t>
  </si>
  <si>
    <t>Họ và tên</t>
  </si>
  <si>
    <t>Mã sinh viên</t>
  </si>
  <si>
    <t>Ngày sinh</t>
  </si>
  <si>
    <t>Lần 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</si>
  <si>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</si>
  <si>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</si>
  <si>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</si>
  <si>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</si>
  <si>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</si>
  <si>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</si>
  <si>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</si>
  <si>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</si>
  <si>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</si>
  <si>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</si>
  <si>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</si>
  <si>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Điểm CC</t>
  </si>
  <si>
    <t>Điểm Thái độ</t>
  </si>
  <si>
    <t>Điểm BC1</t>
  </si>
  <si>
    <t>Điểm QT</t>
  </si>
  <si>
    <t>Đinh Hòa</t>
  </si>
  <si>
    <t>Bình</t>
  </si>
  <si>
    <t/>
  </si>
  <si>
    <t>aaaaaaaaaaaaaaaa</t>
  </si>
  <si>
    <t>Lê Hữu</t>
  </si>
  <si>
    <t>Chung</t>
  </si>
  <si>
    <t>v</t>
  </si>
  <si>
    <t>aaaaaaaaaaa</t>
  </si>
  <si>
    <t>Hoàng Nguyễn Hải</t>
  </si>
  <si>
    <t>Đăng</t>
  </si>
  <si>
    <t>aaaaaaaaaa</t>
  </si>
  <si>
    <t>Chu Thành</t>
  </si>
  <si>
    <t>Đô</t>
  </si>
  <si>
    <t>F</t>
  </si>
  <si>
    <t>Trần Anh</t>
  </si>
  <si>
    <t>Đức</t>
  </si>
  <si>
    <t>aaaaaaaaaaaaaaaaa</t>
  </si>
  <si>
    <t>Hồ Đức</t>
  </si>
  <si>
    <t>Dũng</t>
  </si>
  <si>
    <t>aaaaaaaaaaaaaaa</t>
  </si>
  <si>
    <t>Nguyễn Thị</t>
  </si>
  <si>
    <t>Hằng (NT)</t>
  </si>
  <si>
    <t>Trần Công</t>
  </si>
  <si>
    <t>Hiệp</t>
  </si>
  <si>
    <t>Phạm Viết Trung</t>
  </si>
  <si>
    <t>Hiếu</t>
  </si>
  <si>
    <t>aaaaaaaaaaaa</t>
  </si>
  <si>
    <t>Nguyễn Đình</t>
  </si>
  <si>
    <t>Hoàn</t>
  </si>
  <si>
    <t>aaa</t>
  </si>
  <si>
    <t>Võ Quang</t>
  </si>
  <si>
    <t>aa</t>
  </si>
  <si>
    <t>Lưu Đức</t>
  </si>
  <si>
    <t>Hoàng</t>
  </si>
  <si>
    <t>aaaaaaa</t>
  </si>
  <si>
    <t>Nguyễn Đình Huy</t>
  </si>
  <si>
    <t>Trương Đình</t>
  </si>
  <si>
    <t>Hữu</t>
  </si>
  <si>
    <t>aaaaa</t>
  </si>
  <si>
    <t>Dương Xuân Khánh</t>
  </si>
  <si>
    <t>Huy</t>
  </si>
  <si>
    <t>a</t>
  </si>
  <si>
    <t>Đào Công</t>
  </si>
  <si>
    <t>Khả (NT)</t>
  </si>
  <si>
    <t>aaaaaaaaaaaaa</t>
  </si>
  <si>
    <t>Nguyễn Văn</t>
  </si>
  <si>
    <t>Khôi</t>
  </si>
  <si>
    <t>Hoàng Đình</t>
  </si>
  <si>
    <t>Long</t>
  </si>
  <si>
    <t>Nguyễn Viết</t>
  </si>
  <si>
    <t>Mạnh</t>
  </si>
  <si>
    <t>Lê Công</t>
  </si>
  <si>
    <t>Minh</t>
  </si>
  <si>
    <t>aaaa</t>
  </si>
  <si>
    <t>Nguyễn Đức Thái</t>
  </si>
  <si>
    <t>Minh (NT)</t>
  </si>
  <si>
    <t>m</t>
  </si>
  <si>
    <t>Phan Công</t>
  </si>
  <si>
    <t>Đặng Văn</t>
  </si>
  <si>
    <t>Nguyên</t>
  </si>
  <si>
    <t>Nguyễn Quang</t>
  </si>
  <si>
    <t>Nhân</t>
  </si>
  <si>
    <t>Lê Ánh</t>
  </si>
  <si>
    <t>Phương</t>
  </si>
  <si>
    <t>Cù Chính</t>
  </si>
  <si>
    <t>Quân</t>
  </si>
  <si>
    <t>aaaaaa</t>
  </si>
  <si>
    <t>Lương Minh</t>
  </si>
  <si>
    <t>Ngô Sỹ Trung</t>
  </si>
  <si>
    <t>Hồ Tiến</t>
  </si>
  <si>
    <t>Quang</t>
  </si>
  <si>
    <t>aaaaaaaa</t>
  </si>
  <si>
    <t>Trần Ngọc</t>
  </si>
  <si>
    <t>Hồ Anh</t>
  </si>
  <si>
    <t>Quốc</t>
  </si>
  <si>
    <t>Vũ Hoàng</t>
  </si>
  <si>
    <t>Sang</t>
  </si>
  <si>
    <t>aaaaaaaaa</t>
  </si>
  <si>
    <t>Phùng Đức</t>
  </si>
  <si>
    <t>Tài (NT)</t>
  </si>
  <si>
    <t>Hồ Nguyễn Mạnh</t>
  </si>
  <si>
    <t xml:space="preserve">Thắng </t>
  </si>
  <si>
    <t>Lê Văn</t>
  </si>
  <si>
    <t>Thuần</t>
  </si>
  <si>
    <t>Nguyễn Đình Khánh</t>
  </si>
  <si>
    <t>Toàn (NT)</t>
  </si>
  <si>
    <t>aaaaaaaaaaaaaa</t>
  </si>
  <si>
    <t>Nguyễn Thị Thùy</t>
  </si>
  <si>
    <t>Trinh</t>
  </si>
  <si>
    <t>p</t>
  </si>
  <si>
    <t>Phan Quang</t>
  </si>
  <si>
    <t>Trung</t>
  </si>
  <si>
    <t>Đặng Quang</t>
  </si>
  <si>
    <t>Trường</t>
  </si>
  <si>
    <t>Hồ Thân</t>
  </si>
  <si>
    <t>Tú</t>
  </si>
  <si>
    <t>La Trung</t>
  </si>
  <si>
    <t>Tuyến</t>
  </si>
  <si>
    <t>Tuyển (NT)</t>
  </si>
  <si>
    <t>Đặng Hồng</t>
  </si>
  <si>
    <t>Vũ</t>
  </si>
  <si>
    <t>Trần Văn</t>
  </si>
  <si>
    <t>Cd</t>
  </si>
  <si>
    <t>Nhật</t>
  </si>
  <si>
    <t>Cao Xuân</t>
  </si>
  <si>
    <t>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</si>
</sst>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₫&quot;* #,##0_);_(&quot;₫&quot;* \(#,##0\);_(&quot;₫&quot;* &quot;-&quot;_);_(@_)"/>
    <numFmt numFmtId="165" formatCode="_(* #,##0_);_(* \(#,##0\);_(* &quot;-&quot;_);_(@_)"/>
    <numFmt numFmtId="166" formatCode="_(&quot;₫&quot;* #,##0.00_);_(&quot;₫&quot;* \(#,##0.00\);_(&quot;₫&quot;* &quot;-&quot;??_);_(@_)"/>
    <numFmt numFmtId="167" formatCode="_(* #,##0.00_);_(* \(#,##0.00\);_(* &quot;-&quot;??_);_(@_)"/>
    <numFmt numFmtId="168" formatCode="0.0"/>
  </numFmts>
  <fonts count="19">
    <font>
      <sz val="10"/>
      <name val="Arial"/>
      <family val="2"/>
    </font>
    <font>
      <sz val="10"/>
      <name val="Times New Roman"/>
      <family val="2"/>
    </font>
    <font>
      <sz val="13"/>
      <name val="Times New Roman"/>
      <family val="2"/>
    </font>
    <font>
      <b/>
      <sz val="10"/>
      <name val="Times New Roman"/>
      <family val="2"/>
    </font>
    <font>
      <b/>
      <u/>
      <sz val="13"/>
      <name val="Times New Roman"/>
      <family val="2"/>
    </font>
    <font>
      <b/>
      <u/>
      <sz val="10"/>
      <name val="Times New Roman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1"/>
    </font>
    <font>
      <sz val="10"/>
      <color rgb="FFFF0000"/>
      <name val="Times New Roman"/>
      <family val="2"/>
    </font>
    <font>
      <sz val="10"/>
      <color rgb="FFFF0000"/>
      <name val="Arial"/>
      <family val="2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b/>
      <sz val="10"/>
      <color theme="1"/>
      <name val="Times New Roman"/>
      <family val="1"/>
    </font>
    <font>
      <i/>
      <sz val="10"/>
      <color rgb="FFFF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333333"/>
      </left>
      <right/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/>
      <right/>
      <top/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7" fillId="0" borderId="0" xfId="0" applyFont="1"/>
    <xf numFmtId="0" fontId="8" fillId="0" borderId="2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right" vertical="center"/>
    </xf>
    <xf numFmtId="49" fontId="9" fillId="0" borderId="2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/>
    <xf numFmtId="49" fontId="9" fillId="0" borderId="3" xfId="0" applyNumberFormat="1" applyFont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" fontId="11" fillId="0" borderId="2" xfId="0" applyNumberFormat="1" applyFont="1" applyBorder="1" applyAlignment="1">
      <alignment horizontal="right" vertical="center"/>
    </xf>
    <xf numFmtId="49" fontId="11" fillId="0" borderId="2" xfId="0" applyNumberFormat="1" applyFont="1" applyBorder="1" applyAlignment="1">
      <alignment horizontal="left" vertical="center"/>
    </xf>
    <xf numFmtId="1" fontId="11" fillId="0" borderId="2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49" fontId="11" fillId="0" borderId="2" xfId="0" applyNumberFormat="1" applyFont="1" applyBorder="1"/>
    <xf numFmtId="49" fontId="11" fillId="0" borderId="3" xfId="0" applyNumberFormat="1" applyFont="1" applyBorder="1"/>
    <xf numFmtId="0" fontId="12" fillId="0" borderId="6" xfId="0" applyFont="1" applyBorder="1"/>
    <xf numFmtId="0" fontId="12" fillId="0" borderId="0" xfId="0" applyFont="1"/>
    <xf numFmtId="0" fontId="12" fillId="2" borderId="0" xfId="0" applyFont="1" applyFill="1"/>
    <xf numFmtId="0" fontId="8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8" fontId="11" fillId="0" borderId="6" xfId="0" applyNumberFormat="1" applyFont="1" applyBorder="1" applyAlignment="1">
      <alignment horizontal="center"/>
    </xf>
    <xf numFmtId="168" fontId="9" fillId="0" borderId="6" xfId="0" applyNumberFormat="1" applyFont="1" applyBorder="1" applyAlignment="1">
      <alignment horizontal="center"/>
    </xf>
    <xf numFmtId="168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68" fontId="10" fillId="0" borderId="6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5" fillId="0" borderId="0" xfId="0" applyFont="1" applyAlignment="1">
      <alignment horizontal="center"/>
    </xf>
    <xf numFmtId="168" fontId="14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68" fontId="17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168" fontId="17" fillId="0" borderId="6" xfId="0" applyNumberFormat="1" applyFont="1" applyBorder="1" applyAlignment="1">
      <alignment horizontal="center" vertical="center"/>
    </xf>
    <xf numFmtId="168" fontId="12" fillId="0" borderId="6" xfId="0" applyNumberFormat="1" applyFont="1" applyBorder="1"/>
    <xf numFmtId="1" fontId="11" fillId="0" borderId="4" xfId="0" applyNumberFormat="1" applyFont="1" applyBorder="1" applyAlignment="1">
      <alignment horizontal="right" vertical="center"/>
    </xf>
    <xf numFmtId="49" fontId="11" fillId="0" borderId="4" xfId="0" applyNumberFormat="1" applyFont="1" applyBorder="1" applyAlignment="1">
      <alignment horizontal="left" vertical="center"/>
    </xf>
    <xf numFmtId="1" fontId="11" fillId="0" borderId="4" xfId="0" applyNumberFormat="1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49" fontId="11" fillId="0" borderId="4" xfId="0" applyNumberFormat="1" applyFont="1" applyBorder="1"/>
    <xf numFmtId="49" fontId="11" fillId="0" borderId="1" xfId="0" applyNumberFormat="1" applyFont="1" applyBorder="1"/>
    <xf numFmtId="1" fontId="11" fillId="0" borderId="6" xfId="0" applyNumberFormat="1" applyFont="1" applyBorder="1" applyAlignment="1">
      <alignment horizontal="right" vertical="center"/>
    </xf>
    <xf numFmtId="0" fontId="11" fillId="0" borderId="6" xfId="0" applyFont="1" applyBorder="1" applyAlignment="1">
      <alignment horizontal="left" vertical="center"/>
    </xf>
    <xf numFmtId="1" fontId="1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/>
    <xf numFmtId="0" fontId="11" fillId="0" borderId="7" xfId="0" applyFont="1" applyBorder="1"/>
    <xf numFmtId="0" fontId="11" fillId="0" borderId="6" xfId="0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0" fontId="18" fillId="0" borderId="6" xfId="0" applyFont="1" applyBorder="1"/>
    <xf numFmtId="0" fontId="13" fillId="0" borderId="7" xfId="0" applyFont="1" applyBorder="1"/>
    <xf numFmtId="0" fontId="8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5"/>
  <sheetViews>
    <sheetView tabSelected="1" topLeftCell="A35" zoomScale="169" zoomScaleNormal="169" workbookViewId="0">
      <selection activeCell="T51" sqref="T51"/>
    </sheetView>
  </sheetViews>
  <sheetFormatPr defaultColWidth="9.28515625" defaultRowHeight="12.95"/>
  <cols>
    <col min="1" max="1" width="3.7109375" customWidth="1"/>
    <col min="2" max="2" width="18.42578125" customWidth="1"/>
    <col min="3" max="3" width="9.140625" customWidth="1"/>
    <col min="4" max="4" width="18" customWidth="1"/>
    <col min="5" max="5" width="10.7109375" customWidth="1"/>
    <col min="6" max="6" width="7.140625" style="3" customWidth="1"/>
    <col min="7" max="11" width="4.28515625" customWidth="1"/>
    <col min="12" max="12" width="4.7109375" customWidth="1"/>
    <col min="13" max="16" width="4.28515625" customWidth="1"/>
    <col min="17" max="17" width="4" customWidth="1"/>
    <col min="18" max="18" width="6.140625" customWidth="1"/>
    <col min="19" max="19" width="16.140625" customWidth="1"/>
    <col min="20" max="20" width="12.85546875" style="39" customWidth="1"/>
    <col min="21" max="21" width="8.42578125" style="15" customWidth="1"/>
    <col min="22" max="22" width="15.140625" bestFit="1" customWidth="1"/>
  </cols>
  <sheetData>
    <row r="1" spans="1:48" ht="12.75" customHeight="1">
      <c r="A1" s="64" t="s">
        <v>0</v>
      </c>
      <c r="B1" s="64" t="s">
        <v>0</v>
      </c>
      <c r="C1" s="64" t="s">
        <v>0</v>
      </c>
      <c r="D1" s="63" t="s">
        <v>1</v>
      </c>
      <c r="E1" s="63" t="s">
        <v>1</v>
      </c>
      <c r="F1" s="63"/>
      <c r="G1" s="63" t="s">
        <v>1</v>
      </c>
      <c r="H1" s="63" t="s">
        <v>1</v>
      </c>
      <c r="I1" s="63" t="s">
        <v>1</v>
      </c>
      <c r="J1" s="63" t="s">
        <v>1</v>
      </c>
      <c r="K1" s="63" t="s">
        <v>1</v>
      </c>
      <c r="L1" s="63" t="s">
        <v>1</v>
      </c>
      <c r="M1" s="63" t="s">
        <v>1</v>
      </c>
      <c r="N1" s="63"/>
      <c r="O1" s="63"/>
      <c r="P1" s="63"/>
      <c r="Q1" s="63" t="s">
        <v>1</v>
      </c>
      <c r="R1" s="63" t="s">
        <v>1</v>
      </c>
      <c r="S1" s="63" t="s">
        <v>1</v>
      </c>
      <c r="T1" s="37"/>
    </row>
    <row r="2" spans="1:48" ht="12.75" customHeight="1">
      <c r="A2" s="65" t="s">
        <v>2</v>
      </c>
      <c r="B2" s="65" t="s">
        <v>2</v>
      </c>
      <c r="C2" s="65" t="s">
        <v>2</v>
      </c>
      <c r="D2" s="66" t="s">
        <v>3</v>
      </c>
      <c r="E2" s="66" t="s">
        <v>3</v>
      </c>
      <c r="F2" s="66"/>
      <c r="G2" s="66" t="s">
        <v>3</v>
      </c>
      <c r="H2" s="66" t="s">
        <v>3</v>
      </c>
      <c r="I2" s="66" t="s">
        <v>3</v>
      </c>
      <c r="J2" s="66" t="s">
        <v>3</v>
      </c>
      <c r="K2" s="66" t="s">
        <v>3</v>
      </c>
      <c r="L2" s="66" t="s">
        <v>3</v>
      </c>
      <c r="M2" s="66" t="s">
        <v>3</v>
      </c>
      <c r="N2" s="66"/>
      <c r="O2" s="66"/>
      <c r="P2" s="66"/>
      <c r="Q2" s="66" t="s">
        <v>3</v>
      </c>
      <c r="R2" s="66" t="s">
        <v>3</v>
      </c>
      <c r="S2" s="66" t="s">
        <v>3</v>
      </c>
      <c r="T2" s="38"/>
    </row>
    <row r="3" spans="1:48">
      <c r="A3" s="1"/>
      <c r="B3" s="1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48" ht="12.75" customHeight="1">
      <c r="A4" s="60" t="s">
        <v>4</v>
      </c>
      <c r="B4" s="60" t="s">
        <v>4</v>
      </c>
      <c r="C4" s="60" t="s">
        <v>4</v>
      </c>
      <c r="D4" s="60" t="s">
        <v>4</v>
      </c>
      <c r="E4" s="60" t="s">
        <v>4</v>
      </c>
      <c r="F4" s="60"/>
      <c r="G4" s="60" t="s">
        <v>4</v>
      </c>
      <c r="H4" s="60" t="s">
        <v>4</v>
      </c>
      <c r="I4" s="60" t="s">
        <v>4</v>
      </c>
      <c r="J4" s="60" t="s">
        <v>4</v>
      </c>
      <c r="K4" s="60" t="s">
        <v>4</v>
      </c>
      <c r="L4" s="60" t="s">
        <v>4</v>
      </c>
      <c r="M4" s="60" t="s">
        <v>4</v>
      </c>
      <c r="N4" s="60"/>
      <c r="O4" s="60"/>
      <c r="P4" s="60"/>
      <c r="Q4" s="60" t="s">
        <v>4</v>
      </c>
      <c r="R4" s="60" t="s">
        <v>4</v>
      </c>
      <c r="S4" s="60" t="s">
        <v>4</v>
      </c>
      <c r="T4" s="40"/>
      <c r="U4" s="16"/>
      <c r="V4" s="4"/>
    </row>
    <row r="5" spans="1:48" ht="12.75" customHeight="1">
      <c r="A5" s="60" t="s">
        <v>5</v>
      </c>
      <c r="B5" s="60" t="s">
        <v>5</v>
      </c>
      <c r="C5" s="60" t="s">
        <v>5</v>
      </c>
      <c r="D5" s="60" t="s">
        <v>5</v>
      </c>
      <c r="E5" s="60" t="s">
        <v>5</v>
      </c>
      <c r="F5" s="60"/>
      <c r="G5" s="60" t="s">
        <v>5</v>
      </c>
      <c r="H5" s="60" t="s">
        <v>5</v>
      </c>
      <c r="I5" s="60" t="s">
        <v>5</v>
      </c>
      <c r="J5" s="60" t="s">
        <v>5</v>
      </c>
      <c r="K5" s="60" t="s">
        <v>5</v>
      </c>
      <c r="L5" s="60" t="s">
        <v>5</v>
      </c>
      <c r="M5" s="60" t="s">
        <v>5</v>
      </c>
      <c r="N5" s="60"/>
      <c r="O5" s="60"/>
      <c r="P5" s="60"/>
      <c r="Q5" s="60" t="s">
        <v>5</v>
      </c>
      <c r="R5" s="60" t="s">
        <v>5</v>
      </c>
      <c r="S5" s="60" t="s">
        <v>5</v>
      </c>
      <c r="T5" s="40"/>
      <c r="U5" s="16"/>
      <c r="V5" s="4"/>
    </row>
    <row r="6" spans="1:48" ht="12.75" customHeight="1">
      <c r="A6" s="61" t="s">
        <v>6</v>
      </c>
      <c r="B6" s="61" t="s">
        <v>7</v>
      </c>
      <c r="C6" s="61" t="s">
        <v>7</v>
      </c>
      <c r="D6" s="61" t="s">
        <v>7</v>
      </c>
      <c r="E6" s="61" t="s">
        <v>7</v>
      </c>
      <c r="F6" s="61"/>
      <c r="G6" s="61" t="s">
        <v>7</v>
      </c>
      <c r="H6" s="61" t="s">
        <v>7</v>
      </c>
      <c r="I6" s="61" t="s">
        <v>7</v>
      </c>
      <c r="J6" s="61" t="s">
        <v>7</v>
      </c>
      <c r="K6" s="61" t="s">
        <v>7</v>
      </c>
      <c r="L6" s="61" t="s">
        <v>7</v>
      </c>
      <c r="M6" s="61" t="s">
        <v>7</v>
      </c>
      <c r="N6" s="61"/>
      <c r="O6" s="61"/>
      <c r="P6" s="61"/>
      <c r="Q6" s="61" t="s">
        <v>7</v>
      </c>
      <c r="R6" s="61" t="s">
        <v>7</v>
      </c>
      <c r="S6" s="61" t="s">
        <v>7</v>
      </c>
      <c r="T6" s="41"/>
      <c r="U6" s="16"/>
      <c r="V6" s="4"/>
    </row>
    <row r="7" spans="1:48" ht="12.75" customHeight="1">
      <c r="A7" s="5" t="s">
        <v>8</v>
      </c>
      <c r="B7" s="62" t="s">
        <v>9</v>
      </c>
      <c r="C7" s="62" t="s">
        <v>9</v>
      </c>
      <c r="D7" s="5" t="s">
        <v>10</v>
      </c>
      <c r="E7" s="5" t="s">
        <v>11</v>
      </c>
      <c r="F7" s="6" t="s">
        <v>12</v>
      </c>
      <c r="G7" s="5" t="s">
        <v>13</v>
      </c>
      <c r="H7" s="5" t="s">
        <v>14</v>
      </c>
      <c r="I7" s="5" t="s">
        <v>15</v>
      </c>
      <c r="J7" s="5" t="s">
        <v>16</v>
      </c>
      <c r="K7" s="5" t="s">
        <v>17</v>
      </c>
      <c r="L7" s="5" t="s">
        <v>18</v>
      </c>
      <c r="M7" s="5" t="s">
        <v>19</v>
      </c>
      <c r="N7" s="5" t="s">
        <v>20</v>
      </c>
      <c r="O7" s="5" t="s">
        <v>21</v>
      </c>
      <c r="P7" s="5" t="s">
        <v>22</v>
      </c>
      <c r="Q7" s="5" t="s">
        <v>23</v>
      </c>
      <c r="R7" s="5" t="s">
        <v>24</v>
      </c>
      <c r="S7" s="7" t="s">
        <v>25</v>
      </c>
      <c r="T7" s="42" t="s">
        <v>25</v>
      </c>
      <c r="U7" s="26" t="s">
        <v>26</v>
      </c>
      <c r="V7" s="8" t="s">
        <v>27</v>
      </c>
    </row>
    <row r="8" spans="1:48" s="24" customFormat="1">
      <c r="A8" s="17">
        <v>1</v>
      </c>
      <c r="B8" s="18" t="s">
        <v>28</v>
      </c>
      <c r="C8" s="18" t="s">
        <v>29</v>
      </c>
      <c r="D8" s="19">
        <v>245748020110180</v>
      </c>
      <c r="E8" s="20">
        <v>38985</v>
      </c>
      <c r="F8" s="19"/>
      <c r="G8" s="21" t="s">
        <v>30</v>
      </c>
      <c r="H8" s="21" t="s">
        <v>30</v>
      </c>
      <c r="I8" s="21" t="s">
        <v>30</v>
      </c>
      <c r="J8" s="21" t="s">
        <v>30</v>
      </c>
      <c r="K8" s="21" t="s">
        <v>30</v>
      </c>
      <c r="L8" s="21" t="s">
        <v>30</v>
      </c>
      <c r="M8" s="21" t="s">
        <v>30</v>
      </c>
      <c r="N8" s="21"/>
      <c r="O8" s="21"/>
      <c r="P8" s="21"/>
      <c r="Q8" s="21" t="s">
        <v>30</v>
      </c>
      <c r="R8" s="21" t="s">
        <v>30</v>
      </c>
      <c r="S8" s="22" t="s">
        <v>31</v>
      </c>
      <c r="T8" s="32">
        <v>9</v>
      </c>
      <c r="U8" s="33">
        <v>8</v>
      </c>
      <c r="V8" s="43">
        <f>AVERAGE(T8:U8)</f>
        <v>8.5</v>
      </c>
    </row>
    <row r="9" spans="1:48" s="24" customFormat="1">
      <c r="A9" s="17">
        <v>2</v>
      </c>
      <c r="B9" s="18" t="s">
        <v>32</v>
      </c>
      <c r="C9" s="18" t="s">
        <v>33</v>
      </c>
      <c r="D9" s="19">
        <v>245748020110282</v>
      </c>
      <c r="E9" s="20">
        <v>38764</v>
      </c>
      <c r="F9" s="19"/>
      <c r="G9" s="21" t="s">
        <v>34</v>
      </c>
      <c r="H9" s="21" t="s">
        <v>30</v>
      </c>
      <c r="I9" s="21" t="s">
        <v>30</v>
      </c>
      <c r="J9" s="21" t="s">
        <v>30</v>
      </c>
      <c r="K9" s="21" t="s">
        <v>30</v>
      </c>
      <c r="L9" s="21" t="s">
        <v>30</v>
      </c>
      <c r="M9" s="21" t="s">
        <v>30</v>
      </c>
      <c r="N9" s="21" t="s">
        <v>34</v>
      </c>
      <c r="O9" s="21"/>
      <c r="P9" s="21"/>
      <c r="Q9" s="21" t="s">
        <v>30</v>
      </c>
      <c r="R9" s="21" t="s">
        <v>30</v>
      </c>
      <c r="S9" s="22" t="s">
        <v>35</v>
      </c>
      <c r="T9" s="32">
        <v>8</v>
      </c>
      <c r="U9" s="27">
        <v>5</v>
      </c>
      <c r="V9" s="43">
        <f t="shared" ref="V9:V54" si="0">AVERAGE(T9:U9)</f>
        <v>6.5</v>
      </c>
    </row>
    <row r="10" spans="1:48" s="25" customFormat="1">
      <c r="A10" s="17">
        <v>3</v>
      </c>
      <c r="B10" s="18" t="s">
        <v>36</v>
      </c>
      <c r="C10" s="18" t="s">
        <v>37</v>
      </c>
      <c r="D10" s="19">
        <v>245748020110267</v>
      </c>
      <c r="E10" s="20">
        <v>38995</v>
      </c>
      <c r="F10" s="19"/>
      <c r="G10" s="21" t="s">
        <v>30</v>
      </c>
      <c r="H10" s="21" t="s">
        <v>30</v>
      </c>
      <c r="I10" s="21" t="s">
        <v>30</v>
      </c>
      <c r="J10" s="21" t="s">
        <v>30</v>
      </c>
      <c r="K10" s="21" t="s">
        <v>30</v>
      </c>
      <c r="L10" s="21" t="s">
        <v>30</v>
      </c>
      <c r="M10" s="21" t="s">
        <v>30</v>
      </c>
      <c r="N10" s="21"/>
      <c r="O10" s="21"/>
      <c r="P10" s="21"/>
      <c r="Q10" s="21" t="s">
        <v>30</v>
      </c>
      <c r="R10" s="21" t="s">
        <v>30</v>
      </c>
      <c r="S10" s="22" t="s">
        <v>38</v>
      </c>
      <c r="T10" s="32">
        <v>7.5</v>
      </c>
      <c r="U10" s="27">
        <v>5</v>
      </c>
      <c r="V10" s="43">
        <f t="shared" si="0"/>
        <v>6.25</v>
      </c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</row>
    <row r="11" spans="1:48" ht="12.75">
      <c r="A11" s="9">
        <v>4</v>
      </c>
      <c r="B11" s="10" t="s">
        <v>39</v>
      </c>
      <c r="C11" s="10" t="s">
        <v>40</v>
      </c>
      <c r="D11" s="11">
        <v>245748020110197</v>
      </c>
      <c r="E11" s="12">
        <v>38840</v>
      </c>
      <c r="F11" s="11"/>
      <c r="G11" s="13" t="s">
        <v>34</v>
      </c>
      <c r="H11" s="13" t="s">
        <v>34</v>
      </c>
      <c r="I11" s="13" t="s">
        <v>34</v>
      </c>
      <c r="J11" s="13" t="s">
        <v>34</v>
      </c>
      <c r="K11" s="13" t="s">
        <v>34</v>
      </c>
      <c r="L11" s="13" t="s">
        <v>34</v>
      </c>
      <c r="M11" s="13" t="s">
        <v>34</v>
      </c>
      <c r="N11" s="13"/>
      <c r="O11" s="13"/>
      <c r="P11" s="13"/>
      <c r="Q11" s="13" t="s">
        <v>30</v>
      </c>
      <c r="R11" s="13" t="s">
        <v>30</v>
      </c>
      <c r="S11" s="14" t="s">
        <v>41</v>
      </c>
      <c r="T11" s="31">
        <v>0</v>
      </c>
      <c r="U11" s="16">
        <v>0</v>
      </c>
      <c r="V11" s="43">
        <f t="shared" si="0"/>
        <v>0</v>
      </c>
    </row>
    <row r="12" spans="1:48" s="24" customFormat="1">
      <c r="A12" s="17">
        <v>5</v>
      </c>
      <c r="B12" s="18" t="s">
        <v>42</v>
      </c>
      <c r="C12" s="18" t="s">
        <v>43</v>
      </c>
      <c r="D12" s="19">
        <v>245748020110066</v>
      </c>
      <c r="E12" s="20">
        <v>38587</v>
      </c>
      <c r="F12" s="19"/>
      <c r="G12" s="21" t="s">
        <v>30</v>
      </c>
      <c r="H12" s="21" t="s">
        <v>30</v>
      </c>
      <c r="I12" s="21" t="s">
        <v>30</v>
      </c>
      <c r="J12" s="21" t="s">
        <v>30</v>
      </c>
      <c r="K12" s="21" t="s">
        <v>30</v>
      </c>
      <c r="L12" s="21" t="s">
        <v>30</v>
      </c>
      <c r="M12" s="21" t="s">
        <v>30</v>
      </c>
      <c r="N12" s="21"/>
      <c r="O12" s="21"/>
      <c r="P12" s="21"/>
      <c r="Q12" s="21" t="s">
        <v>30</v>
      </c>
      <c r="R12" s="21" t="s">
        <v>30</v>
      </c>
      <c r="S12" s="22" t="s">
        <v>44</v>
      </c>
      <c r="T12" s="32">
        <v>10</v>
      </c>
      <c r="U12" s="33">
        <v>8</v>
      </c>
      <c r="V12" s="43">
        <f t="shared" si="0"/>
        <v>9</v>
      </c>
    </row>
    <row r="13" spans="1:48" s="25" customFormat="1">
      <c r="A13" s="17">
        <v>6</v>
      </c>
      <c r="B13" s="18" t="s">
        <v>45</v>
      </c>
      <c r="C13" s="18" t="s">
        <v>46</v>
      </c>
      <c r="D13" s="19">
        <v>245748020110204</v>
      </c>
      <c r="E13" s="20">
        <v>38802</v>
      </c>
      <c r="F13" s="19"/>
      <c r="G13" s="21" t="s">
        <v>30</v>
      </c>
      <c r="H13" s="21" t="s">
        <v>30</v>
      </c>
      <c r="I13" s="21" t="s">
        <v>30</v>
      </c>
      <c r="J13" s="21" t="s">
        <v>30</v>
      </c>
      <c r="K13" s="21" t="s">
        <v>30</v>
      </c>
      <c r="L13" s="21" t="s">
        <v>30</v>
      </c>
      <c r="M13" s="21"/>
      <c r="N13" s="21"/>
      <c r="O13" s="21"/>
      <c r="P13" s="21"/>
      <c r="Q13" s="21" t="s">
        <v>30</v>
      </c>
      <c r="R13" s="21" t="s">
        <v>30</v>
      </c>
      <c r="S13" s="22" t="s">
        <v>47</v>
      </c>
      <c r="T13" s="32">
        <v>9</v>
      </c>
      <c r="U13" s="33">
        <v>9</v>
      </c>
      <c r="V13" s="43">
        <f t="shared" si="0"/>
        <v>9</v>
      </c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</row>
    <row r="14" spans="1:48" s="24" customFormat="1">
      <c r="A14" s="17">
        <v>7</v>
      </c>
      <c r="B14" s="18" t="s">
        <v>48</v>
      </c>
      <c r="C14" s="18" t="s">
        <v>49</v>
      </c>
      <c r="D14" s="19">
        <v>245748020110157</v>
      </c>
      <c r="E14" s="20">
        <v>38806</v>
      </c>
      <c r="F14" s="19"/>
      <c r="G14" s="21" t="s">
        <v>30</v>
      </c>
      <c r="H14" s="21" t="s">
        <v>30</v>
      </c>
      <c r="I14" s="21" t="s">
        <v>30</v>
      </c>
      <c r="J14" s="21" t="s">
        <v>30</v>
      </c>
      <c r="K14" s="21" t="s">
        <v>30</v>
      </c>
      <c r="L14" s="21" t="s">
        <v>30</v>
      </c>
      <c r="M14" s="21" t="s">
        <v>30</v>
      </c>
      <c r="N14" s="21"/>
      <c r="O14" s="21"/>
      <c r="P14" s="21"/>
      <c r="Q14" s="21" t="s">
        <v>30</v>
      </c>
      <c r="R14" s="21" t="s">
        <v>30</v>
      </c>
      <c r="S14" s="22" t="s">
        <v>31</v>
      </c>
      <c r="T14" s="32">
        <v>9.5</v>
      </c>
      <c r="U14" s="33">
        <v>9</v>
      </c>
      <c r="V14" s="43">
        <f t="shared" si="0"/>
        <v>9.25</v>
      </c>
    </row>
    <row r="15" spans="1:48" ht="12.75">
      <c r="A15" s="9">
        <v>8</v>
      </c>
      <c r="B15" s="10" t="s">
        <v>50</v>
      </c>
      <c r="C15" s="10" t="s">
        <v>51</v>
      </c>
      <c r="D15" s="11">
        <v>245748020110224</v>
      </c>
      <c r="E15" s="12">
        <v>38986</v>
      </c>
      <c r="F15" s="11"/>
      <c r="G15" s="13" t="s">
        <v>34</v>
      </c>
      <c r="H15" s="13" t="s">
        <v>34</v>
      </c>
      <c r="I15" s="13" t="s">
        <v>34</v>
      </c>
      <c r="J15" s="13" t="s">
        <v>34</v>
      </c>
      <c r="K15" s="13" t="s">
        <v>34</v>
      </c>
      <c r="L15" s="13" t="s">
        <v>34</v>
      </c>
      <c r="M15" s="13" t="s">
        <v>30</v>
      </c>
      <c r="N15" s="13"/>
      <c r="O15" s="13"/>
      <c r="P15" s="13"/>
      <c r="Q15" s="13" t="s">
        <v>30</v>
      </c>
      <c r="R15" s="13" t="s">
        <v>30</v>
      </c>
      <c r="S15" s="14" t="s">
        <v>41</v>
      </c>
      <c r="T15" s="31">
        <v>0</v>
      </c>
      <c r="U15" s="28">
        <v>0</v>
      </c>
      <c r="V15" s="43">
        <f t="shared" si="0"/>
        <v>0</v>
      </c>
    </row>
    <row r="16" spans="1:48" s="24" customFormat="1">
      <c r="A16" s="17">
        <v>9</v>
      </c>
      <c r="B16" s="18" t="s">
        <v>52</v>
      </c>
      <c r="C16" s="18" t="s">
        <v>53</v>
      </c>
      <c r="D16" s="19">
        <v>245748020110002</v>
      </c>
      <c r="E16" s="20">
        <v>39052</v>
      </c>
      <c r="F16" s="19"/>
      <c r="G16" s="21" t="s">
        <v>30</v>
      </c>
      <c r="H16" s="21" t="s">
        <v>30</v>
      </c>
      <c r="I16" s="21" t="s">
        <v>30</v>
      </c>
      <c r="J16" s="21" t="s">
        <v>30</v>
      </c>
      <c r="K16" s="21" t="s">
        <v>30</v>
      </c>
      <c r="L16" s="21" t="s">
        <v>30</v>
      </c>
      <c r="M16" s="21" t="s">
        <v>30</v>
      </c>
      <c r="N16" s="21"/>
      <c r="O16" s="21"/>
      <c r="P16" s="21"/>
      <c r="Q16" s="21" t="s">
        <v>30</v>
      </c>
      <c r="R16" s="21" t="s">
        <v>30</v>
      </c>
      <c r="S16" s="22" t="s">
        <v>54</v>
      </c>
      <c r="T16" s="32">
        <v>8.5</v>
      </c>
      <c r="U16" s="27">
        <v>7.5</v>
      </c>
      <c r="V16" s="43">
        <f t="shared" si="0"/>
        <v>8</v>
      </c>
    </row>
    <row r="17" spans="1:22" s="24" customFormat="1">
      <c r="A17" s="17">
        <v>10</v>
      </c>
      <c r="B17" s="18" t="s">
        <v>55</v>
      </c>
      <c r="C17" s="18" t="s">
        <v>56</v>
      </c>
      <c r="D17" s="19">
        <v>245748020110229</v>
      </c>
      <c r="E17" s="20">
        <v>38944</v>
      </c>
      <c r="F17" s="19"/>
      <c r="G17" s="21" t="s">
        <v>30</v>
      </c>
      <c r="H17" s="21" t="s">
        <v>30</v>
      </c>
      <c r="I17" s="21" t="s">
        <v>30</v>
      </c>
      <c r="J17" s="21" t="s">
        <v>30</v>
      </c>
      <c r="K17" s="21" t="s">
        <v>30</v>
      </c>
      <c r="L17" s="21" t="s">
        <v>30</v>
      </c>
      <c r="M17" s="21" t="s">
        <v>30</v>
      </c>
      <c r="N17" s="21"/>
      <c r="O17" s="21"/>
      <c r="P17" s="21"/>
      <c r="Q17" s="21" t="s">
        <v>30</v>
      </c>
      <c r="R17" s="21" t="s">
        <v>30</v>
      </c>
      <c r="S17" s="22" t="s">
        <v>57</v>
      </c>
      <c r="T17" s="32">
        <v>6.5</v>
      </c>
      <c r="U17" s="27">
        <v>6</v>
      </c>
      <c r="V17" s="43">
        <f t="shared" si="0"/>
        <v>6.25</v>
      </c>
    </row>
    <row r="18" spans="1:22" s="24" customFormat="1">
      <c r="A18" s="17">
        <v>11</v>
      </c>
      <c r="B18" s="18" t="s">
        <v>58</v>
      </c>
      <c r="C18" s="18" t="s">
        <v>56</v>
      </c>
      <c r="D18" s="19">
        <v>245748020110233</v>
      </c>
      <c r="E18" s="20">
        <v>38979</v>
      </c>
      <c r="F18" s="19"/>
      <c r="G18" s="21"/>
      <c r="H18" s="21" t="s">
        <v>30</v>
      </c>
      <c r="I18" s="21" t="s">
        <v>34</v>
      </c>
      <c r="J18" s="21" t="s">
        <v>30</v>
      </c>
      <c r="K18" s="21" t="s">
        <v>34</v>
      </c>
      <c r="L18" s="21" t="s">
        <v>34</v>
      </c>
      <c r="M18" s="21" t="s">
        <v>34</v>
      </c>
      <c r="N18" s="21"/>
      <c r="O18" s="21"/>
      <c r="P18" s="21"/>
      <c r="Q18" s="21" t="s">
        <v>30</v>
      </c>
      <c r="R18" s="21" t="s">
        <v>30</v>
      </c>
      <c r="S18" s="22" t="s">
        <v>59</v>
      </c>
      <c r="T18" s="32">
        <v>4</v>
      </c>
      <c r="U18" s="27">
        <v>0</v>
      </c>
      <c r="V18" s="43">
        <f t="shared" si="0"/>
        <v>2</v>
      </c>
    </row>
    <row r="19" spans="1:22" s="24" customFormat="1">
      <c r="A19" s="17">
        <v>12</v>
      </c>
      <c r="B19" s="18" t="s">
        <v>60</v>
      </c>
      <c r="C19" s="18" t="s">
        <v>61</v>
      </c>
      <c r="D19" s="19">
        <v>245748020110065</v>
      </c>
      <c r="E19" s="20">
        <v>39004</v>
      </c>
      <c r="F19" s="19"/>
      <c r="G19" s="21" t="s">
        <v>30</v>
      </c>
      <c r="H19" s="21" t="s">
        <v>30</v>
      </c>
      <c r="I19" s="21" t="s">
        <v>30</v>
      </c>
      <c r="J19" s="21" t="s">
        <v>30</v>
      </c>
      <c r="K19" s="21" t="s">
        <v>30</v>
      </c>
      <c r="L19" s="21" t="s">
        <v>30</v>
      </c>
      <c r="M19" s="21" t="s">
        <v>30</v>
      </c>
      <c r="N19" s="21"/>
      <c r="O19" s="21"/>
      <c r="P19" s="21"/>
      <c r="Q19" s="21" t="s">
        <v>30</v>
      </c>
      <c r="R19" s="21" t="s">
        <v>30</v>
      </c>
      <c r="S19" s="22" t="s">
        <v>62</v>
      </c>
      <c r="T19" s="30">
        <v>7.7</v>
      </c>
      <c r="U19" s="27">
        <v>7</v>
      </c>
      <c r="V19" s="43">
        <f t="shared" si="0"/>
        <v>7.35</v>
      </c>
    </row>
    <row r="20" spans="1:22" s="24" customFormat="1">
      <c r="A20" s="17">
        <v>13</v>
      </c>
      <c r="B20" s="18" t="s">
        <v>63</v>
      </c>
      <c r="C20" s="18" t="s">
        <v>61</v>
      </c>
      <c r="D20" s="19">
        <v>245748020110125</v>
      </c>
      <c r="E20" s="20">
        <v>38913</v>
      </c>
      <c r="F20" s="19"/>
      <c r="G20" s="21" t="s">
        <v>30</v>
      </c>
      <c r="H20" s="21" t="s">
        <v>30</v>
      </c>
      <c r="I20" s="21" t="s">
        <v>30</v>
      </c>
      <c r="J20" s="21" t="s">
        <v>30</v>
      </c>
      <c r="K20" s="21" t="s">
        <v>30</v>
      </c>
      <c r="L20" s="21" t="s">
        <v>30</v>
      </c>
      <c r="M20" s="21" t="s">
        <v>30</v>
      </c>
      <c r="N20" s="21"/>
      <c r="O20" s="21"/>
      <c r="P20" s="21"/>
      <c r="Q20" s="21" t="s">
        <v>30</v>
      </c>
      <c r="R20" s="21" t="s">
        <v>30</v>
      </c>
      <c r="S20" s="22" t="s">
        <v>35</v>
      </c>
      <c r="T20" s="32">
        <v>8</v>
      </c>
      <c r="U20" s="27">
        <v>8.5</v>
      </c>
      <c r="V20" s="43">
        <f t="shared" si="0"/>
        <v>8.25</v>
      </c>
    </row>
    <row r="21" spans="1:22" ht="12.75">
      <c r="A21" s="9">
        <v>14</v>
      </c>
      <c r="B21" s="10" t="s">
        <v>64</v>
      </c>
      <c r="C21" s="10" t="s">
        <v>65</v>
      </c>
      <c r="D21" s="11">
        <v>245748020110160</v>
      </c>
      <c r="E21" s="12">
        <v>38810</v>
      </c>
      <c r="F21" s="11"/>
      <c r="G21" s="13" t="s">
        <v>30</v>
      </c>
      <c r="H21" s="13" t="s">
        <v>30</v>
      </c>
      <c r="I21" s="13"/>
      <c r="J21" s="13" t="s">
        <v>34</v>
      </c>
      <c r="K21" s="13" t="s">
        <v>30</v>
      </c>
      <c r="L21" s="13" t="s">
        <v>34</v>
      </c>
      <c r="M21" s="13" t="s">
        <v>30</v>
      </c>
      <c r="N21" s="13"/>
      <c r="O21" s="13"/>
      <c r="P21" s="13"/>
      <c r="Q21" s="13" t="s">
        <v>30</v>
      </c>
      <c r="R21" s="13" t="s">
        <v>30</v>
      </c>
      <c r="S21" s="14" t="s">
        <v>66</v>
      </c>
      <c r="T21" s="31">
        <v>7</v>
      </c>
      <c r="U21" s="28">
        <v>6</v>
      </c>
      <c r="V21" s="43">
        <f t="shared" si="0"/>
        <v>6.5</v>
      </c>
    </row>
    <row r="22" spans="1:22" ht="12.75">
      <c r="A22" s="9">
        <v>15</v>
      </c>
      <c r="B22" s="10" t="s">
        <v>67</v>
      </c>
      <c r="C22" s="10" t="s">
        <v>68</v>
      </c>
      <c r="D22" s="11">
        <v>245748020110177</v>
      </c>
      <c r="E22" s="12">
        <v>38857</v>
      </c>
      <c r="F22" s="11"/>
      <c r="G22" s="13" t="s">
        <v>30</v>
      </c>
      <c r="H22" s="13" t="s">
        <v>30</v>
      </c>
      <c r="I22" s="13" t="s">
        <v>30</v>
      </c>
      <c r="J22" s="13" t="s">
        <v>34</v>
      </c>
      <c r="K22" s="13" t="s">
        <v>34</v>
      </c>
      <c r="L22" s="13" t="s">
        <v>30</v>
      </c>
      <c r="M22" s="13" t="s">
        <v>30</v>
      </c>
      <c r="N22" s="13"/>
      <c r="O22" s="13"/>
      <c r="P22" s="13"/>
      <c r="Q22" s="13" t="s">
        <v>30</v>
      </c>
      <c r="R22" s="13" t="s">
        <v>30</v>
      </c>
      <c r="S22" s="14" t="s">
        <v>57</v>
      </c>
      <c r="T22" s="34">
        <v>6.5</v>
      </c>
      <c r="U22" s="28" t="s">
        <v>69</v>
      </c>
      <c r="V22" s="43">
        <f t="shared" si="0"/>
        <v>6.5</v>
      </c>
    </row>
    <row r="23" spans="1:22" s="24" customFormat="1">
      <c r="A23" s="17">
        <v>16</v>
      </c>
      <c r="B23" s="18" t="s">
        <v>70</v>
      </c>
      <c r="C23" s="18" t="s">
        <v>71</v>
      </c>
      <c r="D23" s="19">
        <v>245748020110042</v>
      </c>
      <c r="E23" s="20">
        <v>38914</v>
      </c>
      <c r="F23" s="19"/>
      <c r="G23" s="21" t="s">
        <v>30</v>
      </c>
      <c r="H23" s="21" t="s">
        <v>30</v>
      </c>
      <c r="I23" s="21" t="s">
        <v>30</v>
      </c>
      <c r="J23" s="21" t="s">
        <v>30</v>
      </c>
      <c r="K23" s="21" t="s">
        <v>30</v>
      </c>
      <c r="L23" s="21" t="s">
        <v>30</v>
      </c>
      <c r="M23" s="21" t="s">
        <v>30</v>
      </c>
      <c r="N23" s="21"/>
      <c r="O23" s="21"/>
      <c r="P23" s="21"/>
      <c r="Q23" s="21" t="s">
        <v>30</v>
      </c>
      <c r="R23" s="21" t="s">
        <v>30</v>
      </c>
      <c r="S23" s="22" t="s">
        <v>72</v>
      </c>
      <c r="T23" s="32">
        <v>9</v>
      </c>
      <c r="U23" s="33">
        <v>8</v>
      </c>
      <c r="V23" s="43">
        <f t="shared" si="0"/>
        <v>8.5</v>
      </c>
    </row>
    <row r="24" spans="1:22" s="24" customFormat="1">
      <c r="A24" s="17">
        <v>17</v>
      </c>
      <c r="B24" s="18" t="s">
        <v>73</v>
      </c>
      <c r="C24" s="18" t="s">
        <v>74</v>
      </c>
      <c r="D24" s="19">
        <v>245748020110186</v>
      </c>
      <c r="E24" s="20">
        <v>38955</v>
      </c>
      <c r="F24" s="19"/>
      <c r="G24" s="21" t="s">
        <v>30</v>
      </c>
      <c r="H24" s="21" t="s">
        <v>30</v>
      </c>
      <c r="I24" s="21" t="s">
        <v>30</v>
      </c>
      <c r="J24" s="21" t="s">
        <v>30</v>
      </c>
      <c r="K24" s="21" t="s">
        <v>30</v>
      </c>
      <c r="L24" s="21" t="s">
        <v>30</v>
      </c>
      <c r="M24" s="21" t="s">
        <v>30</v>
      </c>
      <c r="N24" s="21"/>
      <c r="O24" s="21"/>
      <c r="P24" s="21"/>
      <c r="Q24" s="21" t="s">
        <v>30</v>
      </c>
      <c r="R24" s="21" t="s">
        <v>30</v>
      </c>
      <c r="S24" s="22" t="s">
        <v>31</v>
      </c>
      <c r="T24" s="32">
        <v>9.5</v>
      </c>
      <c r="U24" s="33">
        <v>8.5</v>
      </c>
      <c r="V24" s="43">
        <f t="shared" si="0"/>
        <v>9</v>
      </c>
    </row>
    <row r="25" spans="1:22" ht="12.75">
      <c r="A25" s="9">
        <v>18</v>
      </c>
      <c r="B25" s="10" t="s">
        <v>75</v>
      </c>
      <c r="C25" s="10" t="s">
        <v>76</v>
      </c>
      <c r="D25" s="11">
        <v>245748020110095</v>
      </c>
      <c r="E25" s="12">
        <v>39011</v>
      </c>
      <c r="F25" s="11"/>
      <c r="G25" s="13" t="s">
        <v>34</v>
      </c>
      <c r="H25" s="13" t="s">
        <v>30</v>
      </c>
      <c r="I25" s="13" t="s">
        <v>34</v>
      </c>
      <c r="J25" s="13" t="s">
        <v>34</v>
      </c>
      <c r="K25" s="13" t="s">
        <v>34</v>
      </c>
      <c r="L25" s="13" t="s">
        <v>34</v>
      </c>
      <c r="M25" s="13" t="s">
        <v>34</v>
      </c>
      <c r="N25" s="13" t="s">
        <v>34</v>
      </c>
      <c r="O25" s="13"/>
      <c r="P25" s="13"/>
      <c r="Q25" s="13" t="s">
        <v>30</v>
      </c>
      <c r="R25" s="13" t="s">
        <v>30</v>
      </c>
      <c r="S25" s="14" t="s">
        <v>41</v>
      </c>
      <c r="T25" s="31">
        <v>0</v>
      </c>
      <c r="U25" s="28">
        <v>0</v>
      </c>
      <c r="V25" s="43">
        <f t="shared" si="0"/>
        <v>0</v>
      </c>
    </row>
    <row r="26" spans="1:22" s="24" customFormat="1">
      <c r="A26" s="17">
        <v>19</v>
      </c>
      <c r="B26" s="18" t="s">
        <v>77</v>
      </c>
      <c r="C26" s="18" t="s">
        <v>78</v>
      </c>
      <c r="D26" s="19">
        <v>245748020110008</v>
      </c>
      <c r="E26" s="20">
        <v>38785</v>
      </c>
      <c r="F26" s="19"/>
      <c r="G26" s="21" t="s">
        <v>30</v>
      </c>
      <c r="H26" s="21" t="s">
        <v>30</v>
      </c>
      <c r="I26" s="21" t="s">
        <v>30</v>
      </c>
      <c r="J26" s="21" t="s">
        <v>30</v>
      </c>
      <c r="K26" s="21" t="s">
        <v>30</v>
      </c>
      <c r="L26" s="21" t="s">
        <v>30</v>
      </c>
      <c r="M26" s="21" t="s">
        <v>30</v>
      </c>
      <c r="N26" s="21" t="s">
        <v>34</v>
      </c>
      <c r="O26" s="21"/>
      <c r="P26" s="21"/>
      <c r="Q26" s="21" t="s">
        <v>30</v>
      </c>
      <c r="R26" s="21" t="s">
        <v>30</v>
      </c>
      <c r="S26" s="22" t="s">
        <v>57</v>
      </c>
      <c r="T26" s="32">
        <v>6</v>
      </c>
      <c r="U26" s="27">
        <v>7.5</v>
      </c>
      <c r="V26" s="43">
        <f t="shared" si="0"/>
        <v>6.75</v>
      </c>
    </row>
    <row r="27" spans="1:22" s="24" customFormat="1">
      <c r="A27" s="17">
        <v>20</v>
      </c>
      <c r="B27" s="18" t="s">
        <v>79</v>
      </c>
      <c r="C27" s="18" t="s">
        <v>80</v>
      </c>
      <c r="D27" s="19">
        <v>245748020110275</v>
      </c>
      <c r="E27" s="20">
        <v>38771</v>
      </c>
      <c r="F27" s="19"/>
      <c r="G27" s="21" t="s">
        <v>30</v>
      </c>
      <c r="H27" s="21" t="s">
        <v>30</v>
      </c>
      <c r="I27" s="21" t="s">
        <v>30</v>
      </c>
      <c r="J27" s="21" t="s">
        <v>30</v>
      </c>
      <c r="K27" s="21" t="s">
        <v>30</v>
      </c>
      <c r="L27" s="21" t="s">
        <v>30</v>
      </c>
      <c r="M27" s="21" t="s">
        <v>30</v>
      </c>
      <c r="N27" s="21"/>
      <c r="O27" s="21"/>
      <c r="P27" s="21"/>
      <c r="Q27" s="21" t="s">
        <v>30</v>
      </c>
      <c r="R27" s="21" t="s">
        <v>30</v>
      </c>
      <c r="S27" s="22" t="s">
        <v>81</v>
      </c>
      <c r="T27" s="30">
        <v>7</v>
      </c>
      <c r="U27" s="27">
        <v>7.5</v>
      </c>
      <c r="V27" s="43">
        <f t="shared" si="0"/>
        <v>7.25</v>
      </c>
    </row>
    <row r="28" spans="1:22" s="24" customFormat="1">
      <c r="A28" s="17">
        <v>21</v>
      </c>
      <c r="B28" s="18" t="s">
        <v>82</v>
      </c>
      <c r="C28" s="18" t="s">
        <v>83</v>
      </c>
      <c r="D28" s="19">
        <v>245748020110107</v>
      </c>
      <c r="E28" s="20">
        <v>38720</v>
      </c>
      <c r="F28" s="19"/>
      <c r="G28" s="21"/>
      <c r="H28" s="21" t="s">
        <v>84</v>
      </c>
      <c r="I28" s="21" t="s">
        <v>30</v>
      </c>
      <c r="J28" s="21" t="s">
        <v>30</v>
      </c>
      <c r="K28" s="21" t="s">
        <v>30</v>
      </c>
      <c r="L28" s="21" t="s">
        <v>30</v>
      </c>
      <c r="M28" s="21" t="s">
        <v>34</v>
      </c>
      <c r="N28" s="21"/>
      <c r="O28" s="21"/>
      <c r="P28" s="21"/>
      <c r="Q28" s="21" t="s">
        <v>30</v>
      </c>
      <c r="R28" s="21" t="s">
        <v>30</v>
      </c>
      <c r="S28" s="22" t="s">
        <v>31</v>
      </c>
      <c r="T28" s="32">
        <v>8.5</v>
      </c>
      <c r="U28" s="33">
        <v>9</v>
      </c>
      <c r="V28" s="43">
        <f t="shared" si="0"/>
        <v>8.75</v>
      </c>
    </row>
    <row r="29" spans="1:22" ht="12.75">
      <c r="A29" s="9">
        <v>22</v>
      </c>
      <c r="B29" s="10" t="s">
        <v>85</v>
      </c>
      <c r="C29" s="10" t="s">
        <v>80</v>
      </c>
      <c r="D29" s="11">
        <v>245748020110150</v>
      </c>
      <c r="E29" s="12">
        <v>39067</v>
      </c>
      <c r="F29" s="11"/>
      <c r="G29" s="13" t="s">
        <v>34</v>
      </c>
      <c r="H29" s="13" t="s">
        <v>34</v>
      </c>
      <c r="I29" s="13" t="s">
        <v>34</v>
      </c>
      <c r="J29" s="13" t="s">
        <v>34</v>
      </c>
      <c r="K29" s="13" t="s">
        <v>34</v>
      </c>
      <c r="L29" s="13" t="s">
        <v>34</v>
      </c>
      <c r="M29" s="13" t="s">
        <v>34</v>
      </c>
      <c r="N29" s="13" t="s">
        <v>34</v>
      </c>
      <c r="O29" s="13"/>
      <c r="P29" s="13"/>
      <c r="Q29" s="13" t="s">
        <v>30</v>
      </c>
      <c r="R29" s="13" t="s">
        <v>30</v>
      </c>
      <c r="S29" s="14" t="s">
        <v>41</v>
      </c>
      <c r="T29" s="31">
        <v>0</v>
      </c>
      <c r="U29" s="29">
        <v>0</v>
      </c>
      <c r="V29" s="43">
        <f t="shared" si="0"/>
        <v>0</v>
      </c>
    </row>
    <row r="30" spans="1:22" ht="12.75">
      <c r="A30" s="9">
        <v>23</v>
      </c>
      <c r="B30" s="10" t="s">
        <v>86</v>
      </c>
      <c r="C30" s="10" t="s">
        <v>87</v>
      </c>
      <c r="D30" s="11">
        <v>245748020110286</v>
      </c>
      <c r="E30" s="12">
        <v>38886</v>
      </c>
      <c r="F30" s="11"/>
      <c r="G30" s="13" t="s">
        <v>30</v>
      </c>
      <c r="H30" s="13" t="s">
        <v>30</v>
      </c>
      <c r="I30" s="13" t="s">
        <v>30</v>
      </c>
      <c r="J30" s="13" t="s">
        <v>30</v>
      </c>
      <c r="K30" s="13" t="s">
        <v>30</v>
      </c>
      <c r="L30" s="13" t="s">
        <v>30</v>
      </c>
      <c r="M30" s="13" t="s">
        <v>34</v>
      </c>
      <c r="N30" s="13"/>
      <c r="O30" s="13"/>
      <c r="P30" s="13"/>
      <c r="Q30" s="13" t="s">
        <v>30</v>
      </c>
      <c r="R30" s="13" t="s">
        <v>30</v>
      </c>
      <c r="S30" s="14" t="s">
        <v>35</v>
      </c>
      <c r="T30" s="34">
        <v>8</v>
      </c>
      <c r="U30" s="28">
        <v>8</v>
      </c>
      <c r="V30" s="43">
        <f t="shared" si="0"/>
        <v>8</v>
      </c>
    </row>
    <row r="31" spans="1:22" ht="12.75">
      <c r="A31" s="9">
        <v>24</v>
      </c>
      <c r="B31" s="10" t="s">
        <v>88</v>
      </c>
      <c r="C31" s="10" t="s">
        <v>89</v>
      </c>
      <c r="D31" s="11">
        <v>245748020110218</v>
      </c>
      <c r="E31" s="12">
        <v>39028</v>
      </c>
      <c r="F31" s="11"/>
      <c r="G31" s="13" t="s">
        <v>30</v>
      </c>
      <c r="H31" s="13" t="s">
        <v>30</v>
      </c>
      <c r="I31" s="13" t="s">
        <v>30</v>
      </c>
      <c r="J31" s="13" t="s">
        <v>30</v>
      </c>
      <c r="K31" s="13" t="s">
        <v>34</v>
      </c>
      <c r="L31" s="13" t="s">
        <v>30</v>
      </c>
      <c r="M31" s="13" t="s">
        <v>34</v>
      </c>
      <c r="N31" s="13"/>
      <c r="O31" s="13"/>
      <c r="P31" s="13"/>
      <c r="Q31" s="13" t="s">
        <v>30</v>
      </c>
      <c r="R31" s="13"/>
      <c r="S31" s="14" t="s">
        <v>57</v>
      </c>
      <c r="T31" s="34">
        <v>5</v>
      </c>
      <c r="U31" s="28">
        <v>5</v>
      </c>
      <c r="V31" s="43">
        <f t="shared" si="0"/>
        <v>5</v>
      </c>
    </row>
    <row r="32" spans="1:22" s="24" customFormat="1">
      <c r="A32" s="17">
        <v>25</v>
      </c>
      <c r="B32" s="18" t="s">
        <v>90</v>
      </c>
      <c r="C32" s="18" t="s">
        <v>91</v>
      </c>
      <c r="D32" s="19">
        <v>245748020110053</v>
      </c>
      <c r="E32" s="20">
        <v>39018</v>
      </c>
      <c r="F32" s="19"/>
      <c r="G32" s="21" t="s">
        <v>30</v>
      </c>
      <c r="H32" s="21" t="s">
        <v>30</v>
      </c>
      <c r="I32" s="21" t="s">
        <v>30</v>
      </c>
      <c r="J32" s="21" t="s">
        <v>30</v>
      </c>
      <c r="K32" s="21" t="s">
        <v>30</v>
      </c>
      <c r="L32" s="21" t="s">
        <v>30</v>
      </c>
      <c r="M32" s="21" t="s">
        <v>30</v>
      </c>
      <c r="N32" s="21"/>
      <c r="O32" s="21"/>
      <c r="P32" s="21"/>
      <c r="Q32" s="21" t="s">
        <v>30</v>
      </c>
      <c r="R32" s="21" t="s">
        <v>30</v>
      </c>
      <c r="S32" s="22" t="s">
        <v>57</v>
      </c>
      <c r="T32" s="32">
        <v>6</v>
      </c>
      <c r="U32" s="27">
        <v>7</v>
      </c>
      <c r="V32" s="43">
        <f t="shared" si="0"/>
        <v>6.5</v>
      </c>
    </row>
    <row r="33" spans="1:22" s="24" customFormat="1">
      <c r="A33" s="17">
        <v>26</v>
      </c>
      <c r="B33" s="18" t="s">
        <v>92</v>
      </c>
      <c r="C33" s="18" t="s">
        <v>93</v>
      </c>
      <c r="D33" s="19">
        <v>245748020110173</v>
      </c>
      <c r="E33" s="20">
        <v>38945</v>
      </c>
      <c r="F33" s="19"/>
      <c r="G33" s="21" t="s">
        <v>30</v>
      </c>
      <c r="H33" s="21" t="s">
        <v>30</v>
      </c>
      <c r="I33" s="21" t="s">
        <v>30</v>
      </c>
      <c r="J33" s="21" t="s">
        <v>30</v>
      </c>
      <c r="K33" s="21" t="s">
        <v>30</v>
      </c>
      <c r="L33" s="21" t="s">
        <v>30</v>
      </c>
      <c r="M33" s="21" t="s">
        <v>30</v>
      </c>
      <c r="N33" s="21"/>
      <c r="O33" s="21"/>
      <c r="P33" s="21"/>
      <c r="Q33" s="21" t="s">
        <v>30</v>
      </c>
      <c r="R33" s="21" t="s">
        <v>30</v>
      </c>
      <c r="S33" s="22" t="s">
        <v>94</v>
      </c>
      <c r="T33" s="30">
        <v>7.5</v>
      </c>
      <c r="U33" s="27">
        <v>6</v>
      </c>
      <c r="V33" s="43">
        <f t="shared" si="0"/>
        <v>6.75</v>
      </c>
    </row>
    <row r="34" spans="1:22" ht="12.75">
      <c r="A34" s="9">
        <v>27</v>
      </c>
      <c r="B34" s="10" t="s">
        <v>95</v>
      </c>
      <c r="C34" s="10" t="s">
        <v>93</v>
      </c>
      <c r="D34" s="11">
        <v>245748020110153</v>
      </c>
      <c r="E34" s="12">
        <v>39064</v>
      </c>
      <c r="F34" s="11"/>
      <c r="G34" s="13" t="s">
        <v>30</v>
      </c>
      <c r="H34" s="13" t="s">
        <v>30</v>
      </c>
      <c r="I34" s="13" t="s">
        <v>30</v>
      </c>
      <c r="J34" s="13" t="s">
        <v>30</v>
      </c>
      <c r="K34" s="13" t="s">
        <v>30</v>
      </c>
      <c r="L34" s="13" t="s">
        <v>30</v>
      </c>
      <c r="M34" s="13" t="s">
        <v>30</v>
      </c>
      <c r="N34" s="13"/>
      <c r="O34" s="13"/>
      <c r="P34" s="13"/>
      <c r="Q34" s="13" t="s">
        <v>30</v>
      </c>
      <c r="R34" s="13" t="s">
        <v>30</v>
      </c>
      <c r="S34" s="14"/>
      <c r="T34" s="31">
        <v>5</v>
      </c>
      <c r="U34" s="28">
        <v>6</v>
      </c>
      <c r="V34" s="43">
        <f t="shared" si="0"/>
        <v>5.5</v>
      </c>
    </row>
    <row r="35" spans="1:22" ht="12.75">
      <c r="A35" s="9">
        <v>28</v>
      </c>
      <c r="B35" s="10" t="s">
        <v>96</v>
      </c>
      <c r="C35" s="10" t="s">
        <v>93</v>
      </c>
      <c r="D35" s="11">
        <v>245748020110108</v>
      </c>
      <c r="E35" s="12">
        <v>38797</v>
      </c>
      <c r="F35" s="11"/>
      <c r="G35" s="13"/>
      <c r="H35" s="13"/>
      <c r="I35" s="13" t="s">
        <v>34</v>
      </c>
      <c r="J35" s="13" t="s">
        <v>30</v>
      </c>
      <c r="K35" s="13" t="s">
        <v>34</v>
      </c>
      <c r="L35" s="13"/>
      <c r="M35" s="13" t="s">
        <v>30</v>
      </c>
      <c r="N35" s="13"/>
      <c r="O35" s="13"/>
      <c r="P35" s="13"/>
      <c r="Q35" s="13" t="s">
        <v>30</v>
      </c>
      <c r="R35" s="13" t="s">
        <v>30</v>
      </c>
      <c r="S35" s="14" t="s">
        <v>81</v>
      </c>
      <c r="T35" s="31">
        <v>7</v>
      </c>
      <c r="U35" s="28">
        <v>7</v>
      </c>
      <c r="V35" s="43">
        <f t="shared" si="0"/>
        <v>7</v>
      </c>
    </row>
    <row r="36" spans="1:22" ht="12.75">
      <c r="A36" s="9">
        <v>29</v>
      </c>
      <c r="B36" s="10" t="s">
        <v>55</v>
      </c>
      <c r="C36" s="10" t="s">
        <v>93</v>
      </c>
      <c r="D36" s="11">
        <v>245748020110145</v>
      </c>
      <c r="E36" s="12">
        <v>38863</v>
      </c>
      <c r="F36" s="11"/>
      <c r="G36" s="13" t="s">
        <v>30</v>
      </c>
      <c r="H36" s="13" t="s">
        <v>30</v>
      </c>
      <c r="I36" s="13" t="s">
        <v>30</v>
      </c>
      <c r="J36" s="13" t="s">
        <v>30</v>
      </c>
      <c r="K36" s="13" t="s">
        <v>30</v>
      </c>
      <c r="L36" s="13" t="s">
        <v>30</v>
      </c>
      <c r="M36" s="13" t="s">
        <v>30</v>
      </c>
      <c r="N36" s="13"/>
      <c r="O36" s="13"/>
      <c r="P36" s="13"/>
      <c r="Q36" s="13" t="s">
        <v>30</v>
      </c>
      <c r="R36" s="13" t="s">
        <v>30</v>
      </c>
      <c r="S36" s="14" t="s">
        <v>57</v>
      </c>
      <c r="T36" s="34">
        <v>6</v>
      </c>
      <c r="U36" s="28">
        <v>7</v>
      </c>
      <c r="V36" s="43">
        <f t="shared" si="0"/>
        <v>6.5</v>
      </c>
    </row>
    <row r="37" spans="1:22" s="24" customFormat="1">
      <c r="A37" s="17">
        <v>30</v>
      </c>
      <c r="B37" s="18" t="s">
        <v>97</v>
      </c>
      <c r="C37" s="18" t="s">
        <v>98</v>
      </c>
      <c r="D37" s="19">
        <v>245748020110175</v>
      </c>
      <c r="E37" s="20">
        <v>38796</v>
      </c>
      <c r="F37" s="19"/>
      <c r="G37" s="21" t="s">
        <v>30</v>
      </c>
      <c r="H37" s="21" t="s">
        <v>30</v>
      </c>
      <c r="I37" s="21" t="s">
        <v>30</v>
      </c>
      <c r="J37" s="21" t="s">
        <v>30</v>
      </c>
      <c r="K37" s="21" t="s">
        <v>30</v>
      </c>
      <c r="L37" s="21" t="s">
        <v>30</v>
      </c>
      <c r="M37" s="21" t="s">
        <v>30</v>
      </c>
      <c r="N37" s="21"/>
      <c r="O37" s="21"/>
      <c r="P37" s="21"/>
      <c r="Q37" s="21" t="s">
        <v>30</v>
      </c>
      <c r="R37" s="21" t="s">
        <v>30</v>
      </c>
      <c r="S37" s="22" t="s">
        <v>99</v>
      </c>
      <c r="T37" s="32">
        <v>7.5</v>
      </c>
      <c r="U37" s="27">
        <v>7</v>
      </c>
      <c r="V37" s="43">
        <f t="shared" si="0"/>
        <v>7.25</v>
      </c>
    </row>
    <row r="38" spans="1:22" s="24" customFormat="1">
      <c r="A38" s="17">
        <v>31</v>
      </c>
      <c r="B38" s="18" t="s">
        <v>100</v>
      </c>
      <c r="C38" s="18" t="s">
        <v>98</v>
      </c>
      <c r="D38" s="19">
        <v>245748020110182</v>
      </c>
      <c r="E38" s="20">
        <v>38936</v>
      </c>
      <c r="F38" s="19"/>
      <c r="G38" s="21" t="s">
        <v>30</v>
      </c>
      <c r="H38" s="21" t="s">
        <v>30</v>
      </c>
      <c r="I38" s="21" t="s">
        <v>30</v>
      </c>
      <c r="J38" s="21" t="s">
        <v>30</v>
      </c>
      <c r="K38" s="21" t="s">
        <v>34</v>
      </c>
      <c r="L38" s="21" t="s">
        <v>30</v>
      </c>
      <c r="M38" s="21" t="s">
        <v>30</v>
      </c>
      <c r="N38" s="21"/>
      <c r="O38" s="21"/>
      <c r="P38" s="21"/>
      <c r="Q38" s="21" t="s">
        <v>30</v>
      </c>
      <c r="R38" s="21" t="s">
        <v>30</v>
      </c>
      <c r="S38" s="22" t="s">
        <v>62</v>
      </c>
      <c r="T38" s="30">
        <v>7.7</v>
      </c>
      <c r="U38" s="27">
        <v>6</v>
      </c>
      <c r="V38" s="43">
        <f t="shared" si="0"/>
        <v>6.85</v>
      </c>
    </row>
    <row r="39" spans="1:22" ht="12.75">
      <c r="A39" s="9">
        <v>32</v>
      </c>
      <c r="B39" s="10" t="s">
        <v>101</v>
      </c>
      <c r="C39" s="10" t="s">
        <v>102</v>
      </c>
      <c r="D39" s="11">
        <v>245748020110230</v>
      </c>
      <c r="E39" s="12">
        <v>38974</v>
      </c>
      <c r="F39" s="11"/>
      <c r="G39" s="13"/>
      <c r="H39" s="13" t="s">
        <v>34</v>
      </c>
      <c r="I39" s="13" t="s">
        <v>30</v>
      </c>
      <c r="J39" s="13" t="s">
        <v>30</v>
      </c>
      <c r="K39" s="13" t="s">
        <v>34</v>
      </c>
      <c r="L39" s="13" t="s">
        <v>30</v>
      </c>
      <c r="M39" s="13" t="s">
        <v>34</v>
      </c>
      <c r="N39" s="13"/>
      <c r="O39" s="13"/>
      <c r="P39" s="13"/>
      <c r="Q39" s="13" t="s">
        <v>30</v>
      </c>
      <c r="R39" s="13" t="s">
        <v>30</v>
      </c>
      <c r="S39" s="14" t="s">
        <v>59</v>
      </c>
      <c r="T39" s="34">
        <v>6</v>
      </c>
      <c r="U39" s="28">
        <v>7</v>
      </c>
      <c r="V39" s="43">
        <f t="shared" si="0"/>
        <v>6.5</v>
      </c>
    </row>
    <row r="40" spans="1:22" s="24" customFormat="1">
      <c r="A40" s="17">
        <v>33</v>
      </c>
      <c r="B40" s="18" t="s">
        <v>103</v>
      </c>
      <c r="C40" s="18" t="s">
        <v>104</v>
      </c>
      <c r="D40" s="19">
        <v>245748020110184</v>
      </c>
      <c r="E40" s="20">
        <v>39073</v>
      </c>
      <c r="F40" s="19"/>
      <c r="G40" s="21" t="s">
        <v>30</v>
      </c>
      <c r="H40" s="21" t="s">
        <v>30</v>
      </c>
      <c r="I40" s="21" t="s">
        <v>30</v>
      </c>
      <c r="J40" s="21" t="s">
        <v>30</v>
      </c>
      <c r="K40" s="21" t="s">
        <v>34</v>
      </c>
      <c r="L40" s="21" t="s">
        <v>30</v>
      </c>
      <c r="M40" s="21" t="s">
        <v>30</v>
      </c>
      <c r="N40" s="21"/>
      <c r="O40" s="21"/>
      <c r="P40" s="21"/>
      <c r="Q40" s="21" t="s">
        <v>30</v>
      </c>
      <c r="R40" s="21" t="s">
        <v>30</v>
      </c>
      <c r="S40" s="22" t="s">
        <v>105</v>
      </c>
      <c r="T40" s="32">
        <v>8</v>
      </c>
      <c r="U40" s="27">
        <v>7</v>
      </c>
      <c r="V40" s="43">
        <f t="shared" si="0"/>
        <v>7.5</v>
      </c>
    </row>
    <row r="41" spans="1:22" ht="12.75">
      <c r="A41" s="9">
        <v>34</v>
      </c>
      <c r="B41" s="10" t="s">
        <v>106</v>
      </c>
      <c r="C41" s="10" t="s">
        <v>107</v>
      </c>
      <c r="D41" s="11">
        <v>245748020110140</v>
      </c>
      <c r="E41" s="12">
        <v>38985</v>
      </c>
      <c r="F41" s="11"/>
      <c r="G41" s="13" t="s">
        <v>30</v>
      </c>
      <c r="H41" s="13" t="s">
        <v>30</v>
      </c>
      <c r="I41" s="13" t="s">
        <v>30</v>
      </c>
      <c r="J41" s="13" t="s">
        <v>30</v>
      </c>
      <c r="K41" s="13" t="s">
        <v>30</v>
      </c>
      <c r="L41" s="13" t="s">
        <v>30</v>
      </c>
      <c r="M41" s="13" t="s">
        <v>30</v>
      </c>
      <c r="N41" s="13"/>
      <c r="O41" s="13"/>
      <c r="P41" s="13"/>
      <c r="Q41" s="13" t="s">
        <v>30</v>
      </c>
      <c r="R41" s="13" t="s">
        <v>30</v>
      </c>
      <c r="S41" s="14" t="s">
        <v>47</v>
      </c>
      <c r="T41" s="34">
        <v>9</v>
      </c>
      <c r="U41" s="35">
        <v>8</v>
      </c>
      <c r="V41" s="43">
        <f t="shared" si="0"/>
        <v>8.5</v>
      </c>
    </row>
    <row r="42" spans="1:22" ht="12.75">
      <c r="A42" s="9">
        <v>35</v>
      </c>
      <c r="B42" s="10" t="s">
        <v>108</v>
      </c>
      <c r="C42" s="10" t="s">
        <v>109</v>
      </c>
      <c r="D42" s="11">
        <v>245748020110207</v>
      </c>
      <c r="E42" s="12">
        <v>38976</v>
      </c>
      <c r="F42" s="11"/>
      <c r="G42" s="13" t="s">
        <v>30</v>
      </c>
      <c r="H42" s="13" t="s">
        <v>30</v>
      </c>
      <c r="I42" s="13" t="s">
        <v>30</v>
      </c>
      <c r="J42" s="13" t="s">
        <v>30</v>
      </c>
      <c r="K42" s="13" t="s">
        <v>30</v>
      </c>
      <c r="L42" s="13"/>
      <c r="M42" s="13" t="s">
        <v>30</v>
      </c>
      <c r="N42" s="13"/>
      <c r="O42" s="13"/>
      <c r="P42" s="13"/>
      <c r="Q42" s="13" t="s">
        <v>30</v>
      </c>
      <c r="R42" s="13" t="s">
        <v>30</v>
      </c>
      <c r="S42" s="14" t="s">
        <v>57</v>
      </c>
      <c r="T42" s="34">
        <v>6.5</v>
      </c>
      <c r="U42" s="28">
        <v>7</v>
      </c>
      <c r="V42" s="43">
        <f t="shared" si="0"/>
        <v>6.75</v>
      </c>
    </row>
    <row r="43" spans="1:22" ht="12.75">
      <c r="A43" s="9">
        <v>36</v>
      </c>
      <c r="B43" s="10" t="s">
        <v>110</v>
      </c>
      <c r="C43" s="10" t="s">
        <v>111</v>
      </c>
      <c r="D43" s="11">
        <v>245748020110038</v>
      </c>
      <c r="E43" s="12">
        <v>39065</v>
      </c>
      <c r="F43" s="11"/>
      <c r="G43" s="13" t="s">
        <v>30</v>
      </c>
      <c r="H43" s="13" t="s">
        <v>30</v>
      </c>
      <c r="I43" s="13" t="s">
        <v>30</v>
      </c>
      <c r="J43" s="13" t="s">
        <v>30</v>
      </c>
      <c r="K43" s="13" t="s">
        <v>30</v>
      </c>
      <c r="L43" s="13" t="s">
        <v>30</v>
      </c>
      <c r="M43" s="13" t="s">
        <v>30</v>
      </c>
      <c r="N43" s="13"/>
      <c r="O43" s="13"/>
      <c r="P43" s="13"/>
      <c r="Q43" s="13" t="s">
        <v>30</v>
      </c>
      <c r="R43" s="13" t="s">
        <v>30</v>
      </c>
      <c r="S43" s="14" t="s">
        <v>62</v>
      </c>
      <c r="T43" s="31">
        <v>8</v>
      </c>
      <c r="U43" s="28">
        <v>7.5</v>
      </c>
      <c r="V43" s="43">
        <f t="shared" si="0"/>
        <v>7.75</v>
      </c>
    </row>
    <row r="44" spans="1:22" ht="12.75">
      <c r="A44" s="9">
        <v>37</v>
      </c>
      <c r="B44" s="10" t="s">
        <v>112</v>
      </c>
      <c r="C44" s="10" t="s">
        <v>113</v>
      </c>
      <c r="D44" s="11">
        <v>245748020110113</v>
      </c>
      <c r="E44" s="12">
        <v>38539</v>
      </c>
      <c r="F44" s="11"/>
      <c r="G44" s="13" t="s">
        <v>30</v>
      </c>
      <c r="H44" s="13" t="s">
        <v>30</v>
      </c>
      <c r="I44" s="13" t="s">
        <v>30</v>
      </c>
      <c r="J44" s="13" t="s">
        <v>30</v>
      </c>
      <c r="K44" s="13" t="s">
        <v>30</v>
      </c>
      <c r="L44" s="13" t="s">
        <v>34</v>
      </c>
      <c r="M44" s="13" t="s">
        <v>30</v>
      </c>
      <c r="N44" s="13"/>
      <c r="O44" s="13"/>
      <c r="P44" s="13"/>
      <c r="Q44" s="13" t="s">
        <v>30</v>
      </c>
      <c r="R44" s="13"/>
      <c r="S44" s="14" t="s">
        <v>114</v>
      </c>
      <c r="T44" s="34">
        <v>8.6999999999999993</v>
      </c>
      <c r="U44" s="35">
        <v>8</v>
      </c>
      <c r="V44" s="43">
        <f t="shared" si="0"/>
        <v>8.35</v>
      </c>
    </row>
    <row r="45" spans="1:22" ht="12.75">
      <c r="A45" s="9">
        <v>38</v>
      </c>
      <c r="B45" s="10" t="s">
        <v>115</v>
      </c>
      <c r="C45" s="10" t="s">
        <v>116</v>
      </c>
      <c r="D45" s="11">
        <v>245748020110047</v>
      </c>
      <c r="E45" s="12">
        <v>38847</v>
      </c>
      <c r="F45" s="11"/>
      <c r="G45" s="13" t="s">
        <v>30</v>
      </c>
      <c r="H45" s="13" t="s">
        <v>30</v>
      </c>
      <c r="I45" s="13" t="s">
        <v>30</v>
      </c>
      <c r="J45" s="13" t="s">
        <v>30</v>
      </c>
      <c r="K45" s="13" t="s">
        <v>30</v>
      </c>
      <c r="L45" s="13" t="s">
        <v>117</v>
      </c>
      <c r="M45" s="13" t="s">
        <v>30</v>
      </c>
      <c r="N45" s="13"/>
      <c r="O45" s="13"/>
      <c r="P45" s="13"/>
      <c r="Q45" s="13" t="s">
        <v>30</v>
      </c>
      <c r="R45" s="13" t="s">
        <v>30</v>
      </c>
      <c r="S45" s="14" t="s">
        <v>62</v>
      </c>
      <c r="T45" s="31">
        <v>7.5</v>
      </c>
      <c r="U45" s="28">
        <v>7</v>
      </c>
      <c r="V45" s="43">
        <f t="shared" si="0"/>
        <v>7.25</v>
      </c>
    </row>
    <row r="46" spans="1:22" s="24" customFormat="1">
      <c r="A46" s="17">
        <v>39</v>
      </c>
      <c r="B46" s="18" t="s">
        <v>118</v>
      </c>
      <c r="C46" s="18" t="s">
        <v>119</v>
      </c>
      <c r="D46" s="19">
        <v>245748020110166</v>
      </c>
      <c r="E46" s="20">
        <v>38109</v>
      </c>
      <c r="F46" s="19"/>
      <c r="G46" s="21" t="s">
        <v>30</v>
      </c>
      <c r="H46" s="21" t="s">
        <v>30</v>
      </c>
      <c r="I46" s="21" t="s">
        <v>30</v>
      </c>
      <c r="J46" s="21" t="s">
        <v>30</v>
      </c>
      <c r="K46" s="21" t="s">
        <v>30</v>
      </c>
      <c r="L46" s="21" t="s">
        <v>117</v>
      </c>
      <c r="M46" s="21" t="s">
        <v>30</v>
      </c>
      <c r="N46" s="21"/>
      <c r="O46" s="21"/>
      <c r="P46" s="21"/>
      <c r="Q46" s="21" t="s">
        <v>30</v>
      </c>
      <c r="R46" s="21" t="s">
        <v>30</v>
      </c>
      <c r="S46" s="22" t="s">
        <v>38</v>
      </c>
      <c r="T46" s="32">
        <v>8.5</v>
      </c>
      <c r="U46" s="27">
        <v>8.5</v>
      </c>
      <c r="V46" s="43">
        <f t="shared" si="0"/>
        <v>8.5</v>
      </c>
    </row>
    <row r="47" spans="1:22" s="24" customFormat="1">
      <c r="A47" s="17">
        <v>40</v>
      </c>
      <c r="B47" s="18" t="s">
        <v>120</v>
      </c>
      <c r="C47" s="18" t="s">
        <v>121</v>
      </c>
      <c r="D47" s="19">
        <v>245748020110222</v>
      </c>
      <c r="E47" s="20">
        <v>38735</v>
      </c>
      <c r="F47" s="19"/>
      <c r="G47" s="21" t="s">
        <v>34</v>
      </c>
      <c r="H47" s="21" t="s">
        <v>30</v>
      </c>
      <c r="I47" s="21" t="s">
        <v>30</v>
      </c>
      <c r="J47" s="21" t="s">
        <v>34</v>
      </c>
      <c r="K47" s="21" t="s">
        <v>30</v>
      </c>
      <c r="L47" s="21" t="s">
        <v>34</v>
      </c>
      <c r="M47" s="21" t="s">
        <v>30</v>
      </c>
      <c r="N47" s="21"/>
      <c r="O47" s="21"/>
      <c r="P47" s="21"/>
      <c r="Q47" s="21" t="s">
        <v>30</v>
      </c>
      <c r="R47" s="21" t="s">
        <v>30</v>
      </c>
      <c r="S47" s="22" t="s">
        <v>81</v>
      </c>
      <c r="T47" s="30">
        <v>6</v>
      </c>
      <c r="U47" s="27">
        <v>7</v>
      </c>
      <c r="V47" s="43">
        <f t="shared" si="0"/>
        <v>6.5</v>
      </c>
    </row>
    <row r="48" spans="1:22" ht="12.75">
      <c r="A48" s="9">
        <v>41</v>
      </c>
      <c r="B48" s="10" t="s">
        <v>122</v>
      </c>
      <c r="C48" s="10" t="s">
        <v>123</v>
      </c>
      <c r="D48" s="11">
        <v>245748020110085</v>
      </c>
      <c r="E48" s="12">
        <v>38786</v>
      </c>
      <c r="F48" s="11"/>
      <c r="G48" s="13" t="s">
        <v>34</v>
      </c>
      <c r="H48" s="13"/>
      <c r="I48" s="13" t="s">
        <v>34</v>
      </c>
      <c r="J48" s="13" t="s">
        <v>30</v>
      </c>
      <c r="K48" s="13" t="s">
        <v>30</v>
      </c>
      <c r="L48" s="13" t="s">
        <v>34</v>
      </c>
      <c r="M48" s="13" t="s">
        <v>30</v>
      </c>
      <c r="N48" s="13" t="s">
        <v>34</v>
      </c>
      <c r="O48" s="13"/>
      <c r="P48" s="13"/>
      <c r="Q48" s="13" t="s">
        <v>30</v>
      </c>
      <c r="R48" s="13" t="s">
        <v>34</v>
      </c>
      <c r="S48" s="14" t="s">
        <v>41</v>
      </c>
      <c r="T48" s="31">
        <v>0</v>
      </c>
      <c r="U48" s="28">
        <v>0</v>
      </c>
      <c r="V48" s="43">
        <f t="shared" si="0"/>
        <v>0</v>
      </c>
    </row>
    <row r="49" spans="1:22" ht="12.75">
      <c r="A49" s="9">
        <v>42</v>
      </c>
      <c r="B49" s="10" t="s">
        <v>124</v>
      </c>
      <c r="C49" s="10" t="s">
        <v>125</v>
      </c>
      <c r="D49" s="11">
        <v>235748010110024</v>
      </c>
      <c r="E49" s="12">
        <v>36809</v>
      </c>
      <c r="F49" s="11"/>
      <c r="G49" s="13" t="s">
        <v>34</v>
      </c>
      <c r="H49" s="13" t="s">
        <v>30</v>
      </c>
      <c r="I49" s="13" t="s">
        <v>34</v>
      </c>
      <c r="J49" s="13" t="s">
        <v>34</v>
      </c>
      <c r="K49" s="13" t="s">
        <v>30</v>
      </c>
      <c r="L49" s="13" t="s">
        <v>30</v>
      </c>
      <c r="M49" s="13" t="s">
        <v>30</v>
      </c>
      <c r="N49" s="13" t="s">
        <v>34</v>
      </c>
      <c r="O49" s="13"/>
      <c r="P49" s="13"/>
      <c r="Q49" s="13" t="s">
        <v>30</v>
      </c>
      <c r="R49" s="13" t="s">
        <v>34</v>
      </c>
      <c r="S49" s="14" t="s">
        <v>41</v>
      </c>
      <c r="T49" s="31">
        <v>0</v>
      </c>
      <c r="U49" s="28">
        <v>0</v>
      </c>
      <c r="V49" s="43">
        <f t="shared" si="0"/>
        <v>0</v>
      </c>
    </row>
    <row r="50" spans="1:22" s="24" customFormat="1" ht="12.75">
      <c r="A50" s="17">
        <v>43</v>
      </c>
      <c r="B50" s="18" t="s">
        <v>86</v>
      </c>
      <c r="C50" s="18" t="s">
        <v>126</v>
      </c>
      <c r="D50" s="19">
        <v>245748020110158</v>
      </c>
      <c r="E50" s="20">
        <v>39035</v>
      </c>
      <c r="F50" s="19"/>
      <c r="G50" s="21" t="s">
        <v>30</v>
      </c>
      <c r="H50" s="21" t="s">
        <v>30</v>
      </c>
      <c r="I50" s="21"/>
      <c r="J50" s="21" t="s">
        <v>30</v>
      </c>
      <c r="K50" s="21" t="s">
        <v>30</v>
      </c>
      <c r="L50" s="21" t="s">
        <v>30</v>
      </c>
      <c r="M50" s="21" t="s">
        <v>30</v>
      </c>
      <c r="N50" s="21"/>
      <c r="O50" s="21"/>
      <c r="P50" s="21"/>
      <c r="Q50" s="21" t="s">
        <v>30</v>
      </c>
      <c r="R50" s="21" t="s">
        <v>30</v>
      </c>
      <c r="S50" s="22" t="s">
        <v>38</v>
      </c>
      <c r="T50" s="32">
        <v>8</v>
      </c>
      <c r="U50" s="27">
        <v>7.4</v>
      </c>
      <c r="V50" s="43">
        <f t="shared" si="0"/>
        <v>7.7</v>
      </c>
    </row>
    <row r="51" spans="1:22" s="24" customFormat="1" ht="12.75">
      <c r="A51" s="44">
        <v>44</v>
      </c>
      <c r="B51" s="45" t="s">
        <v>127</v>
      </c>
      <c r="C51" s="45" t="s">
        <v>128</v>
      </c>
      <c r="D51" s="46">
        <v>245748020110216</v>
      </c>
      <c r="E51" s="47">
        <v>38762</v>
      </c>
      <c r="F51" s="46"/>
      <c r="G51" s="48" t="s">
        <v>30</v>
      </c>
      <c r="H51" s="48" t="s">
        <v>34</v>
      </c>
      <c r="I51" s="48" t="s">
        <v>34</v>
      </c>
      <c r="J51" s="48" t="s">
        <v>30</v>
      </c>
      <c r="K51" s="48" t="s">
        <v>30</v>
      </c>
      <c r="L51" s="48" t="s">
        <v>34</v>
      </c>
      <c r="M51" s="48" t="s">
        <v>30</v>
      </c>
      <c r="N51" s="48"/>
      <c r="O51" s="48"/>
      <c r="P51" s="48"/>
      <c r="Q51" s="48" t="s">
        <v>30</v>
      </c>
      <c r="R51" s="48" t="s">
        <v>34</v>
      </c>
      <c r="S51" s="49" t="s">
        <v>69</v>
      </c>
      <c r="T51" s="32">
        <v>5</v>
      </c>
      <c r="U51" s="27">
        <v>7</v>
      </c>
      <c r="V51" s="43">
        <f t="shared" si="0"/>
        <v>6</v>
      </c>
    </row>
    <row r="52" spans="1:22" s="24" customFormat="1" ht="12.75">
      <c r="A52" s="50">
        <v>45</v>
      </c>
      <c r="B52" s="51" t="s">
        <v>129</v>
      </c>
      <c r="C52" s="51" t="s">
        <v>68</v>
      </c>
      <c r="D52" s="52">
        <v>215748020110084</v>
      </c>
      <c r="E52" s="53" t="s">
        <v>130</v>
      </c>
      <c r="F52" s="52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5" t="s">
        <v>35</v>
      </c>
      <c r="T52" s="32">
        <v>8.5</v>
      </c>
      <c r="U52" s="27">
        <v>8</v>
      </c>
      <c r="V52" s="43">
        <f t="shared" si="0"/>
        <v>8.25</v>
      </c>
    </row>
    <row r="53" spans="1:22" s="24" customFormat="1" ht="12.75" customHeight="1">
      <c r="A53" s="50">
        <v>46</v>
      </c>
      <c r="B53" s="54" t="s">
        <v>73</v>
      </c>
      <c r="C53" s="54" t="s">
        <v>131</v>
      </c>
      <c r="D53" s="52">
        <v>215748020110227</v>
      </c>
      <c r="E53" s="56" t="s">
        <v>130</v>
      </c>
      <c r="F53" s="57"/>
      <c r="G53" s="54"/>
      <c r="H53" s="54"/>
      <c r="I53" s="54"/>
      <c r="J53" s="54"/>
      <c r="K53" s="54"/>
      <c r="L53" s="54"/>
      <c r="M53" s="58"/>
      <c r="N53" s="58"/>
      <c r="O53" s="58"/>
      <c r="P53" s="58"/>
      <c r="Q53" s="58"/>
      <c r="R53" s="58"/>
      <c r="S53" s="59" t="s">
        <v>35</v>
      </c>
      <c r="T53" s="32">
        <v>8.5</v>
      </c>
      <c r="U53" s="27">
        <v>7</v>
      </c>
      <c r="V53" s="43">
        <f t="shared" si="0"/>
        <v>7.75</v>
      </c>
    </row>
    <row r="54" spans="1:22" s="24" customFormat="1" ht="12.75" customHeight="1">
      <c r="A54" s="50">
        <v>47</v>
      </c>
      <c r="B54" s="54" t="s">
        <v>132</v>
      </c>
      <c r="C54" s="54" t="s">
        <v>133</v>
      </c>
      <c r="D54" s="52">
        <v>215714021010001</v>
      </c>
      <c r="E54" s="56" t="s">
        <v>130</v>
      </c>
      <c r="F54" s="57"/>
      <c r="G54" s="54"/>
      <c r="H54" s="54"/>
      <c r="I54" s="54"/>
      <c r="J54" s="54"/>
      <c r="K54" s="54"/>
      <c r="L54" s="54"/>
      <c r="M54" s="23"/>
      <c r="N54" s="23"/>
      <c r="O54" s="23"/>
      <c r="P54" s="23"/>
      <c r="Q54" s="23"/>
      <c r="R54" s="23"/>
      <c r="S54" s="59" t="s">
        <v>81</v>
      </c>
      <c r="T54" s="32">
        <v>7</v>
      </c>
      <c r="U54" s="27">
        <v>7</v>
      </c>
      <c r="V54" s="43">
        <f t="shared" si="0"/>
        <v>7</v>
      </c>
    </row>
    <row r="55" spans="1:22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63"/>
      <c r="N55" s="63"/>
      <c r="O55" s="63"/>
      <c r="P55" s="63"/>
      <c r="Q55" s="63"/>
      <c r="R55" s="63"/>
      <c r="S55" s="63"/>
      <c r="T55" s="37"/>
      <c r="U55" s="36"/>
    </row>
  </sheetData>
  <mergeCells count="9">
    <mergeCell ref="A5:S5"/>
    <mergeCell ref="A6:S6"/>
    <mergeCell ref="B7:C7"/>
    <mergeCell ref="M55:S55"/>
    <mergeCell ref="A1:C1"/>
    <mergeCell ref="A2:C2"/>
    <mergeCell ref="D1:S1"/>
    <mergeCell ref="D2:S2"/>
    <mergeCell ref="A4:S4"/>
  </mergeCells>
  <pageMargins left="0.5" right="0.3" top="0.5" bottom="0.75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28515625" defaultRowHeight="12.95"/>
  <sheetData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28515625" defaultRowHeight="12.95"/>
  <sheetData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2025-10-15T17:25:26Z</dcterms:created>
  <dcterms:modified xsi:type="dcterms:W3CDTF">2025-12-20T09:12:46Z</dcterms:modified>
  <cp:category/>
  <cp:contentStatus/>
</cp:coreProperties>
</file>